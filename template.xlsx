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ink/ink1.xml" ContentType="application/inkml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1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mobile/Containers/Data/Application/9E1F457D-50C5-4914-84CC-8985795F3FB0/Library/Application Support/Drafts/"/>
    </mc:Choice>
  </mc:AlternateContent>
  <xr:revisionPtr revIDLastSave="0" documentId="8_{5B8AB3DB-6A6C-1743-83C6-7CDA5167A997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2" i="1" l="1"/>
  <c r="E12" i="1"/>
  <c r="D13" i="1"/>
  <c r="D16" i="1"/>
  <c r="E13" i="1"/>
  <c r="D14" i="1"/>
  <c r="D17" i="1"/>
  <c r="E14" i="1"/>
  <c r="D15" i="1"/>
  <c r="D18" i="1"/>
  <c r="E15" i="1"/>
  <c r="D23" i="1"/>
  <c r="D19" i="1"/>
  <c r="D20" i="1"/>
  <c r="E16" i="1"/>
  <c r="D21" i="1"/>
  <c r="E17" i="1"/>
  <c r="D22" i="1"/>
  <c r="E18" i="1"/>
  <c r="E23" i="1"/>
  <c r="E19" i="1"/>
  <c r="E20" i="1"/>
  <c r="E21" i="1"/>
  <c r="E22" i="1"/>
  <c r="B19" i="1"/>
  <c r="C23" i="1"/>
  <c r="B20" i="1"/>
  <c r="C16" i="1"/>
  <c r="B21" i="1"/>
  <c r="C17" i="1"/>
  <c r="B22" i="1"/>
  <c r="C18" i="1"/>
  <c r="C19" i="1"/>
  <c r="C22" i="1"/>
  <c r="C21" i="1"/>
  <c r="C20" i="1"/>
  <c r="C15" i="1"/>
  <c r="C14" i="1"/>
  <c r="C13" i="1"/>
  <c r="B23" i="1"/>
  <c r="B17" i="1"/>
  <c r="B16" i="1"/>
  <c r="C12" i="1"/>
</calcChain>
</file>

<file path=xl/sharedStrings.xml><?xml version="1.0" encoding="utf-8"?>
<sst xmlns="http://schemas.openxmlformats.org/spreadsheetml/2006/main" count="23" uniqueCount="23">
  <si>
    <t>Δt</t>
  </si>
  <si>
    <t>g</t>
  </si>
  <si>
    <t>m</t>
  </si>
  <si>
    <t>k</t>
  </si>
  <si>
    <t>v0</t>
  </si>
  <si>
    <t>θ</t>
  </si>
  <si>
    <t>X</t>
  </si>
  <si>
    <t>Y</t>
  </si>
  <si>
    <t>Z</t>
  </si>
  <si>
    <t>vx</t>
  </si>
  <si>
    <t>vy</t>
  </si>
  <si>
    <t>vz</t>
  </si>
  <si>
    <t>v</t>
  </si>
  <si>
    <t>ax</t>
  </si>
  <si>
    <t>ay</t>
  </si>
  <si>
    <t>az</t>
  </si>
  <si>
    <t>t</t>
  </si>
  <si>
    <t>v_ref</t>
  </si>
  <si>
    <t>z_ref</t>
  </si>
  <si>
    <t>α</t>
  </si>
  <si>
    <t>v_wx</t>
  </si>
  <si>
    <t>v_wy</t>
  </si>
  <si>
    <t>v_wz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</si>
</sst>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Yu Gothic"/>
      <family val="2"/>
      <charset val="128"/>
    </font>
    <font>
      <sz val="11"/>
      <color theme="1"/>
      <name val="Meiryo"/>
      <family val="18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Sheet1!$B$12:$B$350</c:f>
              <c:numCache>
                <c:formatCode>General</c:formatCode>
                <c:ptCount val="3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30.310889132455355</c:v>
                </c:pt>
                <c:pt idx="5">
                  <c:v>30.310889132455355</c:v>
                </c:pt>
                <c:pt idx="6">
                  <c:v>0</c:v>
                </c:pt>
                <c:pt idx="7">
                  <c:v>42.918651948804794</c:v>
                </c:pt>
                <c:pt idx="8">
                  <c:v>-52.03610003738644</c:v>
                </c:pt>
                <c:pt idx="9">
                  <c:v>-61.836100037386444</c:v>
                </c:pt>
                <c:pt idx="10">
                  <c:v>3.6460894462327706</c:v>
                </c:pt>
                <c:pt idx="11">
                  <c:v>2.123837353152414</c:v>
                </c:pt>
              </c:numCache>
            </c:numRef>
          </c:xVal>
          <c:yVal>
            <c:numRef>
              <c:f>Sheet1!$C$12:$C$350</c:f>
              <c:numCache>
                <c:formatCode>General</c:formatCode>
                <c:ptCount val="339"/>
                <c:pt idx="0">
                  <c:v>0.05</c:v>
                </c:pt>
                <c:pt idx="1">
                  <c:v>1.5155444566227678</c:v>
                </c:pt>
                <c:pt idx="2">
                  <c:v>1.5155444566227678</c:v>
                </c:pt>
                <c:pt idx="3">
                  <c:v>0</c:v>
                </c:pt>
                <c:pt idx="4">
                  <c:v>27.709084130586032</c:v>
                </c:pt>
                <c:pt idx="5">
                  <c:v>27.219084130586033</c:v>
                </c:pt>
                <c:pt idx="6">
                  <c:v>0.18230447231163854</c:v>
                </c:pt>
                <c:pt idx="7">
                  <c:v>38.897182740728688</c:v>
                </c:pt>
                <c:pt idx="8">
                  <c:v>-43.112212360225207</c:v>
                </c:pt>
                <c:pt idx="9">
                  <c:v>-52.14982757850693</c:v>
                </c:pt>
                <c:pt idx="10">
                  <c:v>3.2334546129849997</c:v>
                </c:pt>
                <c:pt idx="11">
                  <c:v>2.2605106463537084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292-9C4A-A8E6-55A9ADEDB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8497408"/>
        <c:axId val="1698499200"/>
      </c:scatterChart>
      <c:valAx>
        <c:axId val="169849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8499200"/>
        <c:crosses val="autoZero"/>
        <c:crossBetween val="midCat"/>
      </c:valAx>
      <c:valAx>
        <c:axId val="169849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8497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ustomXml" Target="../ink/ink1.xml"/><Relationship Id="rId1" Type="http://schemas.openxmlformats.org/officeDocument/2006/relationships/chart" Target="../charts/chart1.xml"/><Relationship Id="rId6" Type="http://schemas.openxmlformats.org/officeDocument/2006/relationships/image" Target="../media/image2.png"/><Relationship Id="rId5" Type="http://schemas.openxmlformats.org/officeDocument/2006/relationships/customXml" Target="../ink/ink3.xml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344037</xdr:colOff>
      <xdr:row>360</xdr:row>
      <xdr:rowOff>102168</xdr:rowOff>
    </xdr:from>
    <xdr:to>
      <xdr:col>19</xdr:col>
      <xdr:colOff>63500</xdr:colOff>
      <xdr:row>375</xdr:row>
      <xdr:rowOff>144249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1BECC813-4C72-06C8-84AE-118E16F480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854893</xdr:colOff>
      <xdr:row>18</xdr:row>
      <xdr:rowOff>126720</xdr:rowOff>
    </xdr:from>
    <xdr:to>
      <xdr:col>7</xdr:col>
      <xdr:colOff>855253</xdr:colOff>
      <xdr:row>18</xdr:row>
      <xdr:rowOff>127080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" name="インク 2">
              <a:extLst>
                <a:ext uri="{FF2B5EF4-FFF2-40B4-BE49-F238E27FC236}">
                  <a16:creationId xmlns:a16="http://schemas.microsoft.com/office/drawing/2014/main" id="{DF6FC6E3-FE3D-EB0D-AA8D-DD7ECB77FBA8}"/>
                </a:ext>
                <a:ext uri="{147F2762-F138-4A5C-976F-8EAC2B608ADB}">
                  <a16:predDERef xmlns:a16="http://schemas.microsoft.com/office/drawing/2014/main" pred="{1BECC813-4C72-06C8-84AE-118E16F480C8}"/>
                </a:ext>
              </a:extLst>
            </xdr14:cNvPr>
            <xdr14:cNvContentPartPr/>
          </xdr14:nvContentPartPr>
          <xdr14:nvPr macro=""/>
          <xdr14:xfrm>
            <a:off x="8076960" y="4241520"/>
            <a:ext cx="360" cy="360"/>
          </xdr14:xfrm>
        </xdr:contentPart>
      </mc:Choice>
      <mc:Fallback xmlns="">
        <xdr:pic>
          <xdr:nvPicPr>
            <xdr:cNvPr id="3" name="インク 2">
              <a:extLst>
                <a:ext uri="{FF2B5EF4-FFF2-40B4-BE49-F238E27FC236}">
                  <a16:creationId xmlns:a16="http://schemas.microsoft.com/office/drawing/2014/main" id="{DF6FC6E3-FE3D-EB0D-AA8D-DD7ECB77FBA8}"/>
                </a:ext>
                <a:ext uri="{147F2762-F138-4A5C-976F-8EAC2B608ADB}">
                  <a16:predDERef xmlns:a16="http://schemas.microsoft.com/office/drawing/2014/main" pred="{1BECC813-4C72-06C8-84AE-118E16F480C8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070840" y="42354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1062353</xdr:colOff>
      <xdr:row>7</xdr:row>
      <xdr:rowOff>0</xdr:rowOff>
    </xdr:from>
    <xdr:to>
      <xdr:col>6</xdr:col>
      <xdr:colOff>1062713</xdr:colOff>
      <xdr:row>7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4" name="インク 3">
              <a:extLst>
                <a:ext uri="{FF2B5EF4-FFF2-40B4-BE49-F238E27FC236}">
                  <a16:creationId xmlns:a16="http://schemas.microsoft.com/office/drawing/2014/main" id="{8C7B2A23-F25A-1A4B-A43F-EAB814BA4816}"/>
                </a:ext>
                <a:ext uri="{147F2762-F138-4A5C-976F-8EAC2B608ADB}">
                  <a16:predDERef xmlns:a16="http://schemas.microsoft.com/office/drawing/2014/main" pred="{DF6FC6E3-FE3D-EB0D-AA8D-DD7ECB77FBA8}"/>
                </a:ext>
              </a:extLst>
            </xdr14:cNvPr>
            <xdr14:cNvContentPartPr/>
          </xdr14:nvContentPartPr>
          <xdr14:nvPr macro=""/>
          <xdr14:xfrm>
            <a:off x="7128720" y="1600200"/>
            <a:ext cx="360" cy="360"/>
          </xdr14:xfrm>
        </xdr:contentPart>
      </mc:Choice>
      <mc:Fallback xmlns="">
        <xdr:pic>
          <xdr:nvPicPr>
            <xdr:cNvPr id="4" name="インク 3">
              <a:extLst>
                <a:ext uri="{FF2B5EF4-FFF2-40B4-BE49-F238E27FC236}">
                  <a16:creationId xmlns:a16="http://schemas.microsoft.com/office/drawing/2014/main" id="{8C7B2A23-F25A-1A4B-A43F-EAB814BA4816}"/>
                </a:ext>
                <a:ext uri="{147F2762-F138-4A5C-976F-8EAC2B608ADB}">
                  <a16:predDERef xmlns:a16="http://schemas.microsoft.com/office/drawing/2014/main" pred="{DF6FC6E3-FE3D-EB0D-AA8D-DD7ECB77FBA8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7122600" y="15940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97200</xdr:colOff>
      <xdr:row>10</xdr:row>
      <xdr:rowOff>211320</xdr:rowOff>
    </xdr:from>
    <xdr:to>
      <xdr:col>3</xdr:col>
      <xdr:colOff>293</xdr:colOff>
      <xdr:row>11</xdr:row>
      <xdr:rowOff>29520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6" name="インク 5">
              <a:extLst>
                <a:ext uri="{FF2B5EF4-FFF2-40B4-BE49-F238E27FC236}">
                  <a16:creationId xmlns:a16="http://schemas.microsoft.com/office/drawing/2014/main" id="{3C6CCD58-55BF-FEDC-8897-CAE7CBC93388}"/>
                </a:ext>
                <a:ext uri="{147F2762-F138-4A5C-976F-8EAC2B608ADB}">
                  <a16:predDERef xmlns:a16="http://schemas.microsoft.com/office/drawing/2014/main" pred="{8C7B2A23-F25A-1A4B-A43F-EAB814BA4816}"/>
                </a:ext>
              </a:extLst>
            </xdr14:cNvPr>
            <xdr14:cNvContentPartPr/>
          </xdr14:nvContentPartPr>
          <xdr14:nvPr macro=""/>
          <xdr14:xfrm>
            <a:off x="97200" y="2497320"/>
            <a:ext cx="2502360" cy="46800"/>
          </xdr14:xfrm>
        </xdr:contentPart>
      </mc:Choice>
      <mc:Fallback xmlns="">
        <xdr:pic>
          <xdr:nvPicPr>
            <xdr:cNvPr id="6" name="インク 5">
              <a:extLst>
                <a:ext uri="{FF2B5EF4-FFF2-40B4-BE49-F238E27FC236}">
                  <a16:creationId xmlns:a16="http://schemas.microsoft.com/office/drawing/2014/main" id="{3C6CCD58-55BF-FEDC-8897-CAE7CBC93388}"/>
                </a:ext>
                <a:ext uri="{147F2762-F138-4A5C-976F-8EAC2B608ADB}">
                  <a16:predDERef xmlns:a16="http://schemas.microsoft.com/office/drawing/2014/main" pred="{8C7B2A23-F25A-1A4B-A43F-EAB814BA481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86400" y="2486880"/>
              <a:ext cx="2523600" cy="680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22T02:11:20.79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22T02:11:21.39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22T02:11:29.275"/>
    </inkml:context>
    <inkml:brush xml:id="br0">
      <inkml:brushProperty name="width" value="0.06" units="cm"/>
      <inkml:brushProperty name="height" value="0.06" units="cm"/>
      <inkml:brushProperty name="color" value="#E71224"/>
    </inkml:brush>
  </inkml:definitions>
  <inkml:trace contextRef="#ctx0" brushRef="#br0">0 72 9315,'6'6'0,"-4"-1"0,6-5 0,1 0 0,-2 0 0,1 0 0,1 0 0,1 0 0,2-1 0,0-3 0,-4 3 0,-1-3 0,0 1 0,2 1 0,-1-2 0,0 0 0,4 4 0,-1 0 0,1 0 0,0 0 0,0 0 0,-5 0 0,0 1 0,-2 3 0,4-3 0,-1 3 0,3-1 0,0-1 0,1 2 0,-4 0 0,0-4 0,1 2 0,1 2 0,-2-3 0,0 3 0,1-3 0,-2 0 0,1 2 0,1 1 0,-3 0 0,2-4 0,1 0 0,-2 0 0,1 0 0,1 0 0,-3 0 0,2 0 0,1 0 0,2 0 0,1 0 0,-1 0 0,1 0 0,0 0 0,-4 0 0,0 0 0,1 0 0,-3 0 0,2 0 0,1 0 0,-2 0 0,1 0 0,-1 0 0,5 0 0,-4 0 0,0 0 0,0 0 0,3 0 0,-3 0 0,0 0 0,1 0 0,-2 0 0,1 0 0,1 0 0,-3 0 0,2 0 0,0 0 0,4 0 0,-4 0 0,-1 0 0,3 0 0,-4 0 0,2 0 0,-2 1 0,4 2 0,-3 1 0,1 0 0,4-4 0,0 0 0,0 0 0,-5 0 0,1 0 0,0 3 0,4 1 0,0 0 0,-1-4 0,1 0 0,0 0 0,0 0 0,-1 0 0,1 0 0,0 0 0,0 0 0,-1 0 0,1 0 0,0 0 0,0 0 0,-1 0 0,-3 0 0,0 0 0,1 0 0,2 0 0,1 0 0,-1 0 0,1 0 0,0 0 0,0 0 0,-1 0 0,-3 0 0,0 0 0,1 0 0,2 0 0,-4 0 0,1 0 0,0-1 0,-1-3 0,3 3 0,-2-3 0,2 3 0,-2 1 0,0 0 0,1 0 0,2 0 0,0 0 0,1 0 0,-4 0 0,0 0 0,1 0 0,-2-4 0,0 0 0,3 1 0,-4 2 0,2 1 0,1 0 0,-2 0 0,0 0 0,3 0 0,-4 0 0,2 0 0,1 0 0,-2 0 0,0 0 0,3 0 0,-4 0 0,2 0 0,1 0 0,2 0 0,0 0 0,1 0 0,0 0 0,0 0 0,-1 0 0,6-4 0,3 0 0,2 0 0,2 4 0,-6-4 0,-2 0 0,-3 2 0,-2 0 0,1 2 0,0 0 0,0 0 0,0 0 0,-1 0 0,1 0 0,0 0 0,0 0 0,-1 0 0,1 0 0,0 0 0,0 0 0,-1 0 0,-3 0 0,0 2 0,1 2 0,2-3 0,0 3 0,1-3 0,-4-1 0,0 0 0,1 0 0,1 0 0,2 0 0,0 0 0,0 0 0,-1 0 0,1 0 0,0 0 0,0 0 0,0 0 0,-1 0 0,1 0 0,-4 0 0,0 0 0,1 0 0,-3 0 0,2 0 0,1 0 0,2 0 0,1 0 0,-1 0 0,-3 0 0,0 0 0,1 0 0,-2 0 0,1 0 0,1 0 0,-3 0 0,2 0 0,1 0 0,-2 0 0,1 0 0,1 0 0,-3 0 0,2 0 0,0 0 0,4 0 0,-1 0 0,1 0 0,-4 0 0,0 0 0,1 0 0,-2 0 0,0 0 0,3 0 0,-4 0 0,2 0 0,1 0 0,-2-1 0,0-2 0,3-1 0,-4 0 0,2 4 0,1 0 0,2 0 0,0 0 0,1 0 0,-4 0 0,0 0 0,1 0 0,1 0 0,2 0 0,0 0 0,0-1 0,-1-3 0,2 3 0,2-3 0,1 3 0,-2 1 0,-1 0 0,-1 0 0,-1-2 0,1-2 0,0 3 0,0-3 0,0 3 0,-1 1 0,-3 0 0,0 0 0,0-2 0,-2-1 0,5 1 0,-3-2 0,2 3 0,1 0 0,-2-2 0,-2-1 0,3 2 0,0 0 0,2 2 0,0 0 0,-1-4 0,1 0 0,0 2 0,0 0 0,-1 2 0,1 0 0,-4 0 0,0 0 0,0 0 0,3 0 0,1 0 0,0 0 0,0 0 0,-1 0 0,-3 2 0,0 0 0,1 2 0,-2 0 0,1-4 0,1 0 0,1 0 0,2 2 0,0 1 0,0-1 0,-1 2 0,1-3 0,0-1 0,0 0 0,-1 0 0,1 1 0,0 3 0,0-2 0,-1 1 0,1-1 0,0-1 0,0 2 0,-1 1 0,1 0 0,0-4 0,0 0 0,-1 0 0,1 0 0,0 0 0,0 0 0,0 1 0,-1 1 0,1 2 0,0-1 0,-4-2 0,-1-1 0,3 0 0,0 0 0,2 0 0,0 0 0,-1 0 0,2 0 0,2 0 0,0 0 0,0 0 0,-1 0 0,1 0 0,2 0 0,1 0 0,-2 0 0,2 0 0,0 0 0,0 0 0,-3 0 0,2 0 0,-2 0 0,1 0 0,0 0 0,-3 0 0,1 0 0,2 0 0,4 0 0,-5 0 0,1 0 0,1 0 0,-3 0 0,5 0 0,-2 0 0,-3 0 0,0 0 0,1 2 0,0 0 0,0 2 0,-2 0 0,-1-4 0,-1 1 0,1 3 0,1-2 0,1 1 0,2-1 0,-1-2 0,-1 0 0,0 0 0,3 0 0,2 0 0,-5 0 0,2 0 0,-2 0 0,2 0 0,-3 0 0,2 0 0,-2 0 0,-1 0 0,0 0 0,0 0 0,-1 0 0,1 0 0,0 0 0,0 0 0,0 0 0,-1 0 0,1 0 0,0 0 0,-4 1 0,-1 2 0,3 1 0,0-2 0,2 0 0,0-2 0,-1 0 0,1 0 0,0 0 0,-2 1 0,-1 1 0,-1 2 0,0 0 0,4-4 0,0 0 0,-1 0 0,1 0 0,0 0 0,0 0 0,-1 0 0,1 0 0,0-1 0,0-3 0,0 3 0,-1-3 0,1 3 0,0 1 0,0 0 0,-1-2 0,1-2 0,0 3 0,0-3 0,-1 3 0,-3 1 0,0 0 0,1 0 0,2 0 0,0 0 0,1 0 0,0 0 0,0-2 0,-1 0 0,2-2 0,3 1 0,-3 2 0,4 1 0,-1 0 0,0 0 0,-1 0 0,-3-1 0,0-2 0,0-1 0,-1 0 0,1 3 0,0-2 0,0-1 0,-5 1 0,0 1 0,-1 0 0,1-2 0,-3-2 0,4 4 0,1-2 0,1 0 0,2 4 0,0-1 0,0-3 0,3 2 0,1-1 0,-2 1 0,-1 2 0,3 0 0,0 0 0,-2 0 0,-1 0 0,0 0 0,3-1 0,4-3 0,-3 3 0,-2-3 0,-2 2 0,-1 2 0,0 0 0,0 0 0,-1 0 0,1 0 0,0 0 0,0 0 0,-1 0 0,-3 0 0,0 2 0,1 2 0,2-3 0,0 3 0,1-3 0,0-1 0,0 0 0,-1 0 0,3 0 0,0 0 0,2 0 0,1 0 0,-3 0 0,2 0 0,-2 0 0,0 0 0,1 0 0,0 0 0,0 0 0,-2 0 0,0 0 0,3 0 0,-2 0 0,4 0 0,-1 0 0,-1 0 0,-4 0 0,-1 0 0,-3 0 0,0 0 0,1 0 0,2 4 0,0 0 0,1-1 0,0-1 0,0 1 0,0 1 0,-1 1 0,1-2 0,0 1 0,0-2 0,-1 0 0,1-1 0,0 3 0,0-3 0,1 3 0,2-3 0,-6-1 0,3 0 0,-1 0 0,-1 0 0,2 0 0,0 0 0,1 0 0,2 0 0,-2 0 0,3 0 0,-1 0 0,0 0 0,-2 0 0,4 0 0,-1 0 0,0 0 0,-1 0 0,-3 0 0,0 0 0,0 0 0,-1 0 0,1-1 0,0-2 0,0-1 0,-5 1 0,1 3 0,1-2 0,2-2 0,1 3 0,-1-3 0,1 3 0,0 1 0,0 0 0,-1 0 0,1 0 0,0 0 0,-4 0 0,0 0 0,1 0 0,1 0 0,-2 0 0,0 0 0,1 0 0,-2 0 0,0 0 0,3 0 0,0 0 0,2-2 0,0-1 0,-1 1 0,1-2 0,0 3 0,0 0 0,-1-2 0,1-1 0,0 2 0,0-1 0,-1 0 0,1-1 0,0-1 0,0 3 0,-1-2 0,1 1 0,-4-2 0,0 1 0,1 1 0,1 2 0,2 1 0,0 0 0,1 0 0,3 0 0,-3 1 0,2 2 0,-1 2 0,-3 2 0,1-5 0,0 3 0,0-1 0,-1 0 0,1 0 0,0-4 0,0 0 0,-1 0 0,1 0 0,0 0 0,-4 0 0,0-1 0,1-3 0,-3 3 0,2-3 0,1 2 0,2 2 0,0 6 0,1 0 0</inkml:trace>
</inkml: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C92-D8F1-E045-AC0B-C70DBFA001DB}">
  <dimension ref="A1:LG23"/>
  <sheetViews>
    <sheetView tabSelected="1" zoomScaleNormal="150" zoomScaleSheetLayoutView="100" workbookViewId="0">
      <selection activeCell="F22" sqref="F22"/>
    </sheetView>
  </sheetViews>
  <sheetFormatPr defaultRowHeight="14.25" x14ac:dyDescent="0.2"/>
  <cols>
    <col min="2" max="2" width="9.68359375" customWidth="1"/>
    <col min="3" max="7" width="14.83203125" bestFit="1" customWidth="1"/>
    <col min="8" max="8" width="14.83203125" style="1" bestFit="1" customWidth="1"/>
    <col min="9" max="9" width="14.09765625" bestFit="1" customWidth="1"/>
    <col min="10" max="13" width="14.83203125" bestFit="1" customWidth="1"/>
    <col min="14" max="14" width="9.68359375" customWidth="1"/>
    <col min="15" max="21" width="14.83203125" bestFit="1" customWidth="1"/>
    <col min="22" max="22" width="14.09765625" bestFit="1" customWidth="1"/>
    <col min="23" max="80" width="14.83203125" bestFit="1" customWidth="1"/>
    <col min="81" max="81" width="14.09765625" bestFit="1" customWidth="1"/>
    <col min="82" max="95" width="14.83203125" bestFit="1" customWidth="1"/>
    <col min="96" max="96" width="14.09765625" bestFit="1" customWidth="1"/>
    <col min="97" max="99" width="14.83203125" bestFit="1" customWidth="1"/>
    <col min="100" max="100" width="14.09765625" bestFit="1" customWidth="1"/>
    <col min="101" max="101" width="14.83203125" bestFit="1" customWidth="1"/>
    <col min="102" max="102" width="14.09765625" bestFit="1" customWidth="1"/>
    <col min="103" max="104" width="14.83203125" bestFit="1" customWidth="1"/>
    <col min="105" max="105" width="14.09765625" bestFit="1" customWidth="1"/>
    <col min="106" max="108" width="14.83203125" bestFit="1" customWidth="1"/>
    <col min="109" max="109" width="14.09765625" bestFit="1" customWidth="1"/>
    <col min="110" max="116" width="14.83203125" bestFit="1" customWidth="1"/>
    <col min="117" max="117" width="14.09765625" bestFit="1" customWidth="1"/>
    <col min="118" max="118" width="14.83203125" bestFit="1" customWidth="1"/>
    <col min="119" max="119" width="14.09765625" bestFit="1" customWidth="1"/>
    <col min="120" max="157" width="14.83203125" bestFit="1" customWidth="1"/>
    <col min="158" max="159" width="14.09765625" bestFit="1" customWidth="1"/>
    <col min="160" max="161" width="14.83203125" bestFit="1" customWidth="1"/>
    <col min="162" max="162" width="14.09765625" bestFit="1" customWidth="1"/>
    <col min="163" max="163" width="14.83203125" bestFit="1" customWidth="1"/>
    <col min="164" max="164" width="14.09765625" bestFit="1" customWidth="1"/>
    <col min="165" max="167" width="14.83203125" bestFit="1" customWidth="1"/>
    <col min="168" max="168" width="14.09765625" bestFit="1" customWidth="1"/>
    <col min="169" max="169" width="14.83203125" bestFit="1" customWidth="1"/>
    <col min="170" max="171" width="14.09765625" bestFit="1" customWidth="1"/>
    <col min="172" max="188" width="14.83203125" bestFit="1" customWidth="1"/>
    <col min="189" max="189" width="14.09765625" bestFit="1" customWidth="1"/>
    <col min="190" max="208" width="14.83203125" bestFit="1" customWidth="1"/>
    <col min="209" max="209" width="13.8515625" bestFit="1" customWidth="1"/>
    <col min="210" max="214" width="14.83203125" bestFit="1" customWidth="1"/>
    <col min="215" max="215" width="14.09765625" bestFit="1" customWidth="1"/>
    <col min="216" max="233" width="14.83203125" bestFit="1" customWidth="1"/>
    <col min="234" max="234" width="14.09765625" bestFit="1" customWidth="1"/>
    <col min="235" max="240" width="14.83203125" bestFit="1" customWidth="1"/>
    <col min="241" max="241" width="14.09765625" bestFit="1" customWidth="1"/>
    <col min="242" max="243" width="14.83203125" bestFit="1" customWidth="1"/>
    <col min="244" max="244" width="14.09765625" bestFit="1" customWidth="1"/>
    <col min="245" max="248" width="14.83203125" bestFit="1" customWidth="1"/>
    <col min="249" max="249" width="14.09765625" bestFit="1" customWidth="1"/>
    <col min="250" max="255" width="14.83203125" bestFit="1" customWidth="1"/>
    <col min="256" max="256" width="14.09765625" bestFit="1" customWidth="1"/>
    <col min="257" max="257" width="14.83203125" bestFit="1" customWidth="1"/>
    <col min="258" max="258" width="14.09765625" bestFit="1" customWidth="1"/>
    <col min="259" max="266" width="14.83203125" bestFit="1" customWidth="1"/>
    <col min="267" max="267" width="14.09765625" bestFit="1" customWidth="1"/>
    <col min="268" max="272" width="14.83203125" bestFit="1" customWidth="1"/>
    <col min="273" max="273" width="14.09765625" bestFit="1" customWidth="1"/>
    <col min="274" max="277" width="14.83203125" bestFit="1" customWidth="1"/>
    <col min="278" max="278" width="13.8515625" bestFit="1" customWidth="1"/>
    <col min="279" max="279" width="14.09765625" bestFit="1" customWidth="1"/>
    <col min="280" max="318" width="14.83203125" bestFit="1" customWidth="1"/>
    <col min="319" max="319" width="18.6328125" customWidth="1"/>
  </cols>
  <sheetData>
    <row r="1" spans="1:319" ht="18" x14ac:dyDescent="0.2">
      <c r="A1" s="2" t="s">
        <v>0</v>
      </c>
      <c r="B1" s="2">
        <v>0.05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</row>
    <row r="2" spans="1:319" ht="18" x14ac:dyDescent="0.2">
      <c r="A2" s="2" t="s">
        <v>1</v>
      </c>
      <c r="B2" s="2">
        <v>9.8000000000000007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</row>
    <row r="3" spans="1:319" ht="18" x14ac:dyDescent="0.2">
      <c r="A3" s="2" t="s">
        <v>2</v>
      </c>
      <c r="B3" s="2">
        <v>0.5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</row>
    <row r="4" spans="1:319" ht="18" x14ac:dyDescent="0.2">
      <c r="A4" s="2" t="s">
        <v>3</v>
      </c>
      <c r="B4" s="2">
        <v>0.02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</row>
    <row r="5" spans="1:319" ht="18" x14ac:dyDescent="0.2">
      <c r="A5" s="2" t="s">
        <v>4</v>
      </c>
      <c r="B5" s="2">
        <v>35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</row>
    <row r="6" spans="1:319" ht="18" x14ac:dyDescent="0.2">
      <c r="A6" s="2" t="s">
        <v>5</v>
      </c>
      <c r="B6" s="2">
        <v>30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</row>
    <row r="7" spans="1:319" ht="18" x14ac:dyDescent="0.2">
      <c r="A7" s="2" t="s">
        <v>17</v>
      </c>
      <c r="B7" s="2">
        <v>3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</row>
    <row r="8" spans="1:319" ht="18" x14ac:dyDescent="0.2">
      <c r="A8" s="2" t="s">
        <v>18</v>
      </c>
      <c r="B8" s="2">
        <v>10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</row>
    <row r="9" spans="1:319" ht="18" x14ac:dyDescent="0.2">
      <c r="A9" s="2" t="s">
        <v>19</v>
      </c>
      <c r="B9" s="2">
        <v>0.15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</row>
    <row r="10" spans="1:319" ht="18" x14ac:dyDescent="0.2">
      <c r="A10" s="2" t="s">
        <v>20</v>
      </c>
      <c r="B10" s="2">
        <v>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</row>
    <row r="11" spans="1:319" ht="18" x14ac:dyDescent="0.2">
      <c r="A11" s="2" t="s">
        <v>21</v>
      </c>
      <c r="B11" s="2">
        <v>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</row>
    <row r="12" spans="1:319" ht="18" x14ac:dyDescent="0.2">
      <c r="A12" s="2" t="s">
        <v>16</v>
      </c>
      <c r="B12" s="2">
        <v>0</v>
      </c>
      <c r="C12" s="2">
        <f>B12+$B$1</f>
        <v>0.05</v>
      </c>
      <c r="D12" s="2">
        <f t="shared" ref="D12:E12" si="0">C12+$B$1</f>
        <v>0.1</v>
      </c>
      <c r="E12" s="2">
        <f t="shared" si="0"/>
        <v>0.15000000000000002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</row>
    <row r="13" spans="1:319" ht="18" x14ac:dyDescent="0.2">
      <c r="A13" s="2" t="s">
        <v>6</v>
      </c>
      <c r="B13" s="2">
        <v>0</v>
      </c>
      <c r="C13" s="2">
        <f>B13+B16*$B$1</f>
        <v>1.5155444566227678</v>
      </c>
      <c r="D13" s="2">
        <f t="shared" ref="D13:E13" si="1">C13+C16*$B$1</f>
        <v>2.9009986631520697</v>
      </c>
      <c r="E13" s="2">
        <f t="shared" si="1"/>
        <v>4.1786723387808085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</row>
    <row r="14" spans="1:319" ht="18" x14ac:dyDescent="0.2">
      <c r="A14" s="2" t="s">
        <v>7</v>
      </c>
      <c r="B14" s="2">
        <v>0</v>
      </c>
      <c r="C14" s="2">
        <f>B14+B17*$B$1</f>
        <v>1.5155444566227678</v>
      </c>
      <c r="D14" s="2">
        <f t="shared" ref="D14:E14" si="2">C14+C17*$B$1</f>
        <v>2.8764986631520695</v>
      </c>
      <c r="E14" s="2">
        <f t="shared" si="2"/>
        <v>4.1070783007351039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</row>
    <row r="15" spans="1:319" ht="18" x14ac:dyDescent="0.2">
      <c r="A15" s="2" t="s">
        <v>8</v>
      </c>
      <c r="B15" s="2">
        <v>0</v>
      </c>
      <c r="C15" s="2">
        <f>B15+B18*$B$1</f>
        <v>0</v>
      </c>
      <c r="D15" s="2">
        <f t="shared" ref="D15:E15" si="3">C15+C18*$B$1</f>
        <v>9.1152236155819279E-3</v>
      </c>
      <c r="E15" s="2">
        <f t="shared" si="3"/>
        <v>2.6314083763626355E-2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</row>
    <row r="16" spans="1:319" ht="18" x14ac:dyDescent="0.2">
      <c r="A16" s="2" t="s">
        <v>9</v>
      </c>
      <c r="B16" s="2">
        <f>$B$5*COS(RADIANS($B$6))</f>
        <v>30.310889132455355</v>
      </c>
      <c r="C16" s="2">
        <f>B16+B20*$B$1</f>
        <v>27.709084130586032</v>
      </c>
      <c r="D16" s="2">
        <f t="shared" ref="D16:E16" si="4">C16+C20*$B$1</f>
        <v>25.553473512574772</v>
      </c>
      <c r="E16" s="2">
        <f t="shared" si="4"/>
        <v>23.736975728018564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</row>
    <row r="17" spans="1:319" ht="18" x14ac:dyDescent="0.2">
      <c r="A17" s="2" t="s">
        <v>10</v>
      </c>
      <c r="B17" s="2">
        <f>$B$5*COS(RADIANS($B$6))</f>
        <v>30.310889132455355</v>
      </c>
      <c r="C17" s="2">
        <f>B17+B21*$B$1</f>
        <v>27.219084130586033</v>
      </c>
      <c r="D17" s="2">
        <f t="shared" ref="D17:E17" si="5">C17+C21*$B$1</f>
        <v>24.611592751660687</v>
      </c>
      <c r="E17" s="2">
        <f t="shared" si="5"/>
        <v>22.372049634331017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</row>
    <row r="18" spans="1:319" ht="18" x14ac:dyDescent="0.2">
      <c r="A18" s="2" t="s">
        <v>11</v>
      </c>
      <c r="B18" s="2">
        <v>0</v>
      </c>
      <c r="C18" s="2">
        <f>B18+B22*$B$1</f>
        <v>0.18230447231163854</v>
      </c>
      <c r="D18" s="2">
        <f t="shared" ref="D18:E18" si="6">C18+C22*$B$1</f>
        <v>0.34397720296088852</v>
      </c>
      <c r="E18" s="2">
        <f t="shared" si="6"/>
        <v>0.49642844126669294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</row>
    <row r="19" spans="1:319" ht="18" x14ac:dyDescent="0.2">
      <c r="A19" s="2" t="s">
        <v>12</v>
      </c>
      <c r="B19" s="2">
        <f>SQRT((B16-$B$10)^2+(B17-$B$11)^2+(B18-B23)^2)</f>
        <v>42.918651948804794</v>
      </c>
      <c r="C19" s="2">
        <f>SQRT((C16-$B$10)^2+(C17-$B$11)^2+(C18-C23)^2)</f>
        <v>38.897182740728688</v>
      </c>
      <c r="D19" s="2">
        <f t="shared" ref="D19:E19" si="7">SQRT((D16-$B$10)^2+(D17-$B$11)^2+(D18-D23)^2)</f>
        <v>35.54306978388508</v>
      </c>
      <c r="E19" s="2">
        <f t="shared" si="7"/>
        <v>32.687673545829234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</row>
    <row r="20" spans="1:319" ht="18" x14ac:dyDescent="0.2">
      <c r="A20" s="2" t="s">
        <v>13</v>
      </c>
      <c r="B20" s="2">
        <f>-($B$4/$B$3)*B19*(B17-$B$10)</f>
        <v>-52.03610003738644</v>
      </c>
      <c r="C20" s="2">
        <f>-($B$4/$B$3)*C19*(C16-$B$10)</f>
        <v>-43.112212360225207</v>
      </c>
      <c r="D20" s="2">
        <f t="shared" ref="D20:E20" si="8">-($B$4/$B$3)*D19*(D16-$B$10)</f>
        <v>-36.329955691124162</v>
      </c>
      <c r="E20" s="2">
        <f t="shared" si="8"/>
        <v>-31.036260542509726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</row>
    <row r="21" spans="1:319" ht="19.5" customHeight="1" x14ac:dyDescent="0.2">
      <c r="A21" t="s">
        <v>14</v>
      </c>
      <c r="B21">
        <f>-$B$2-($B$4/$B$3)*B19*(B17-$B$11)</f>
        <v>-61.836100037386444</v>
      </c>
      <c r="C21">
        <f>-$B$2-($B$4/$B$3)*C19*(C17-$B$11)</f>
        <v>-52.14982757850693</v>
      </c>
      <c r="D21">
        <f t="shared" ref="D21:E21" si="9">-$B$2-($B$4/$B$3)*D19*(D17-$B$11)</f>
        <v>-44.790862346593443</v>
      </c>
      <c r="E21">
        <f t="shared" si="9"/>
        <v>-39.051610199924028</v>
      </c>
    </row>
    <row r="22" spans="1:319" ht="16.5" customHeight="1" x14ac:dyDescent="0.2">
      <c r="A22" t="s">
        <v>15</v>
      </c>
      <c r="B22">
        <f>-($B$4/$B$3)*B19*(B18-B23)</f>
        <v>3.6460894462327706</v>
      </c>
      <c r="C22">
        <f>-($B$4/$B$3)*C19*(C18-C23)</f>
        <v>3.2334546129849997</v>
      </c>
      <c r="D22">
        <f t="shared" ref="D22:E22" si="10">-($B$4/$B$3)*D19*(D18-D23)</f>
        <v>3.049024766116089</v>
      </c>
      <c r="E22">
        <f t="shared" si="10"/>
        <v>2.7832951236903649</v>
      </c>
    </row>
    <row r="23" spans="1:319" ht="18.75" customHeight="1" x14ac:dyDescent="0.2">
      <c r="A23" t="s">
        <v>22</v>
      </c>
      <c r="B23">
        <f>$B$7*(MAX(B14,1)/$B$8)^$B$9</f>
        <v>2.123837353152414</v>
      </c>
      <c r="C23">
        <f>$B$7*(MAX(C14,1)/$B$8)^$B$9</f>
        <v>2.2605106463537084</v>
      </c>
      <c r="D23">
        <f t="shared" ref="D23:E23" si="11">$B$7*(MAX(D14,1)/$B$8)^$B$9</f>
        <v>2.4885758438881354</v>
      </c>
      <c r="E23">
        <f t="shared" si="11"/>
        <v>2.6251323392269512</v>
      </c>
    </row>
  </sheetData>
  <phoneticPr fontId="1" alignment="center"/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b980876e-81a5-49cb-9a7f-f098e4049984}" enabled="0" method="" siteId="{b980876e-81a5-49cb-9a7f-f098e404998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田中　陸翔</dc:creator>
  <dcterms:created xsi:type="dcterms:W3CDTF">2026-09-04T22:38:16Z</dcterms:created>
</cp:coreProperties>
</file>